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1 - Country Financial Typ" sheetId="2" r:id="rId6"/>
    <sheet state="visible" name="Pivot 2 - Sector" sheetId="3" r:id="rId7"/>
    <sheet state="visible" name="Pivot 3 - Country Sector" sheetId="4" r:id="rId8"/>
    <sheet state="visible" name="Pivot Table 1" sheetId="5" r:id="rId9"/>
    <sheet state="visible" name="Pivot Table 2" sheetId="6" r:id="rId10"/>
    <sheet state="visible" name="Pivot Table 3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<sst xmlns="http://schemas.openxmlformats.org/spreadsheetml/2006/main" count="221" uniqueCount="108">
  <si>
    <t>Country</t>
  </si>
  <si>
    <t>Korean Company / Organization</t>
  </si>
  <si>
    <t>Project</t>
  </si>
  <si>
    <t>Primary Sector</t>
  </si>
  <si>
    <t>Secondary Sector</t>
  </si>
  <si>
    <t>Project Type</t>
  </si>
  <si>
    <t>Year</t>
  </si>
  <si>
    <t>Investment USD</t>
  </si>
  <si>
    <t>Technology Focus</t>
  </si>
  <si>
    <t>Local Partner</t>
  </si>
  <si>
    <t>Source</t>
  </si>
  <si>
    <t>Source Date</t>
  </si>
  <si>
    <t>Financial Type</t>
  </si>
  <si>
    <t>Notes</t>
  </si>
  <si>
    <t>Source Type</t>
  </si>
  <si>
    <t>El Salvador</t>
  </si>
  <si>
    <t>KOICA (Korea International Cooperation Agency)</t>
  </si>
  <si>
    <t>Korea Innovation Nexus for Research &amp; Development Collaboration</t>
  </si>
  <si>
    <t>Technology</t>
  </si>
  <si>
    <t>Education</t>
  </si>
  <si>
    <t>Technology cooperation / R&amp;D</t>
  </si>
  <si>
    <t>Automation; Digital fabrication; Prototyping; Quality control</t>
  </si>
  <si>
    <t>Universidad de El Salvador / ESCO</t>
  </si>
  <si>
    <r>
      <rPr>
        <color rgb="FF1155CC"/>
        <u/>
      </rPr>
      <t>https://rree.gob.sv/el-salvador-y-corea-trabajan-de-la-mano-por-la-innovacion-y-el-desarrollo-tecnologico/</t>
    </r>
    <r>
      <rPr/>
      <t xml:space="preserve"> </t>
    </r>
  </si>
  <si>
    <t>Development cooperation</t>
  </si>
  <si>
    <t>Korean-funded innovation center with specialized laboratories; five-year project focused on R&amp;D, technology, innovation, and digital entrepreneurship.</t>
  </si>
  <si>
    <t>Government</t>
  </si>
  <si>
    <t>KOICA</t>
  </si>
  <si>
    <t>Center for Industrial Innovation Training at ITCA-FEPADE</t>
  </si>
  <si>
    <t xml:space="preserve">Education </t>
  </si>
  <si>
    <t>Manufacturing</t>
  </si>
  <si>
    <t>Technology cooperation / Education</t>
  </si>
  <si>
    <t>Industry 4.0; Cybersecurity; Industrial robotics; Mechatronics; Electronics; Programming; Smart manufacturing</t>
  </si>
  <si>
    <t>ITCA-FEPADE / ESCO</t>
  </si>
  <si>
    <t>https://www.presidencia.gob.sv/gobierno-fortalece-carreras-tecnologicas-en-itca-fepade-con-el-apoyo-de-la-agencia-de-el-salvador-para-la-cooperacion-internacional/</t>
  </si>
  <si>
    <t>Five-year cooperation project; includes a new training facility, two technical programs, and four continuing-education diplomas.</t>
  </si>
  <si>
    <t>Centro de Innovación de Emprendimiento Digital (CIED)</t>
  </si>
  <si>
    <t>Entrepreneurship</t>
  </si>
  <si>
    <t>Technology Cooperation / Entrepreneurship</t>
  </si>
  <si>
    <t>--</t>
  </si>
  <si>
    <t>Digitalization; 3D printing; 3D scanning; Drones; Laser cutting; Digital entrepreneurship</t>
  </si>
  <si>
    <t>CONAMYPE / Ministry of Tourism / ESCO / PNUD</t>
  </si>
  <si>
    <t>https://rree.gob.sv/corea-apoya-la-habilitacion-de-instalaciones-con-recursos-innovadores-para-las-mypes/</t>
  </si>
  <si>
    <t>Innovation center providing technology, equipment, training, and technical support to Salvadoran micro and small businesses.</t>
  </si>
  <si>
    <t>Mexico</t>
  </si>
  <si>
    <t>KIA Mexico</t>
  </si>
  <si>
    <t>Kia EV3 Production &amp; Electromobility Expansion</t>
  </si>
  <si>
    <t>Automotive</t>
  </si>
  <si>
    <t>Energy</t>
  </si>
  <si>
    <t>FDI / Manufacturing</t>
  </si>
  <si>
    <t>EV; Electromobility; EV charging; Renewable energy</t>
  </si>
  <si>
    <t>Government of Nuevo León / Mexican government</t>
  </si>
  <si>
    <t>https://www.gob.mx/presidencia/prensa/plan-mexico-presidenta-destaca-inversion-de-kia-de-649-mdd-para-produccion-de-vehiculo-electrico-muestra-la-confianza-en-el-pais</t>
  </si>
  <si>
    <t>Corporate FDI</t>
  </si>
  <si>
    <t>Investment planned for 2026–2028. Includes EV3 production line at Kia's Pesquería plant, national charging network, 2 MW solar park, and wastewater treatment.</t>
  </si>
  <si>
    <t>Hyundai Mobis</t>
  </si>
  <si>
    <t>Nuevo León Advanced Automotive Technology Expansion</t>
  </si>
  <si>
    <t>FDI / Manufacturing / Technology development</t>
  </si>
  <si>
    <t>Autonomous driving; Semiconductors; Vehicle electrification; Electronic systems</t>
  </si>
  <si>
    <t>https://www.nl.gob.mx/es/boletines/desde-corea-del-sur-concreta-samuel-1000-mdp-mas-para-nl</t>
  </si>
  <si>
    <t>Hyundai Mobis committed MXN $1 billion; governor described approximately $50M for autonomous-vehicle and chip technology. Expansion expected to generate 250 jobs. Existing operations include electronic components and battery systems.</t>
  </si>
  <si>
    <t>LG Magna e-Powertrain</t>
  </si>
  <si>
    <t>Ramos Arizpe EV Powertrain Manufacturing Plant</t>
  </si>
  <si>
    <t>FDI / Joint Venture / Manufacturing</t>
  </si>
  <si>
    <t>EV; Electric motors; Inverters; On-board chargers; Electric powertrain</t>
  </si>
  <si>
    <t>Magna International / General Motors / Government of Coahuila</t>
  </si>
  <si>
    <t>https://www.lg.com/global/newsroom/news/corporate/lg-magna-e-powertrain-celebrates-groundbreaking-of-new-facility-in-mexico/</t>
  </si>
  <si>
    <t>Corporate FDI / Joint Venture</t>
  </si>
  <si>
    <t>LG Electronics–Magna joint venture. New 260,000 sq. ft. facility in Ramos Arizpe, Coahuila; planned production of inverters, motors and onboard chargers for GM's EV platform; approximately 400 jobs expected.</t>
  </si>
  <si>
    <t>Company</t>
  </si>
  <si>
    <t>Samsung Electronics</t>
  </si>
  <si>
    <t>Household Appliance Production Expansion</t>
  </si>
  <si>
    <t>Electronics</t>
  </si>
  <si>
    <t>Consumer Appliances</t>
  </si>
  <si>
    <t>Consumer electronics; Household appliances; Manufacturing</t>
  </si>
  <si>
    <t>Government of Mexico / Local operations in Querétaro and Tijuana</t>
  </si>
  <si>
    <t>https://www.gob.mx/sre/prensa/in-meetings-with-foreign-secretary-ebrard-korean-companies-announce-investments-in-mexico</t>
  </si>
  <si>
    <t>Samsung announced investments in Querétaro and Tijuana to increase household-appliance production in Mexico. Investment amount not entered because the cited government announcement does not specify a Samsung project amount.</t>
  </si>
  <si>
    <t>United States</t>
  </si>
  <si>
    <t>SK hynix</t>
  </si>
  <si>
    <t>Indiana Advanced HBM Packaging &amp; R&amp;D Facility</t>
  </si>
  <si>
    <t>FDI / Manufacturing / Technology Development</t>
  </si>
  <si>
    <t>AI; HBM; Semiconductors; Advanced packaging; R&amp;D</t>
  </si>
  <si>
    <t>Purdue University / Indiana government</t>
  </si>
  <si>
    <t>https://news.skhynix.com/en/groundbreaking-ceremony-in-indiana/</t>
  </si>
  <si>
    <t>Advanced HBM packaging facility in West Lafayette; first SK hynix HBM production base in the U.S.; includes an advanced packaging R&amp;D testbed and collaboration with Purdue University.</t>
  </si>
  <si>
    <t>Samsung SDI</t>
  </si>
  <si>
    <t>New Carlisle EV Battery Manufacturing Plant</t>
  </si>
  <si>
    <t>EV batteries; Battery cells; Energy storage; High-performance batteries</t>
  </si>
  <si>
    <t>General Motors / State of Indiana</t>
  </si>
  <si>
    <t>https://news.samsungsdi.com/global/press/view?seq=57</t>
  </si>
  <si>
    <t>Samsung SDI and General Motors established a joint venture for an EV battery manufacturing plant in New Carlisle, Indiana. The original plan called for approximately $3.5B in investment, 27 GWh initial annual capacity, and more than 1,600 jobs. In August 2026, Samsung SDI acquired GM's 49.99% stake, making the plant wholly owned by Samsung SDI; the company plans to initially use the facility for energy-storage-system batteries.</t>
  </si>
  <si>
    <t>Hyundai Motor Group</t>
  </si>
  <si>
    <t>AVP Silicon Valley / Future Mobility Innovation Hub</t>
  </si>
  <si>
    <t>AI; Autonomous driving; Robotics; Smart cities; Clean energy</t>
  </si>
  <si>
    <t>https://www.hyundai.com/worldwide/en/newsroom/detail/0000001239</t>
  </si>
  <si>
    <t>Corporate Investment / Technology Cooperation</t>
  </si>
  <si>
    <t>Hyundai Motor Group's Silicon Valley innovation activities connect U.S. startups, technology companies, talent and research with Hyundai's global R&amp;D and business operations. AVP Silicon Valley was established as a strategic hub for future mobility innovation, building on Hyundai CRADLE's earlier open-innovation activities.</t>
  </si>
  <si>
    <t>COUNTA of Project</t>
  </si>
  <si>
    <t>Grand Total</t>
  </si>
  <si>
    <t>Projects</t>
  </si>
  <si>
    <t>COUNTA of Financial Type</t>
  </si>
  <si>
    <t>COUNTA of Primary Sector</t>
  </si>
  <si>
    <t>COUNTA of Secondary Sector</t>
  </si>
  <si>
    <t>Automotive Total</t>
  </si>
  <si>
    <t>Education  Total</t>
  </si>
  <si>
    <t>Electronics Total</t>
  </si>
  <si>
    <t>Technology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</si>
</sst>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Korean Engagement by Country and Financial Type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1 - Country Financial Typ'!$B$2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1 - Country Financial Typ'!$A$3:$A$5</c:f>
            </c:strRef>
          </c:cat>
          <c:val>
            <c:numRef>
              <c:f>'Pivot 1 - Country Financial Typ'!$B$3:$B$5</c:f>
              <c:numCache/>
            </c:numRef>
          </c:val>
        </c:ser>
        <c:ser>
          <c:idx val="1"/>
          <c:order val="1"/>
          <c:tx>
            <c:strRef>
              <c:f>'Pivot 1 - Country Financial Typ'!$C$2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1 - Country Financial Typ'!$A$3:$A$5</c:f>
            </c:strRef>
          </c:cat>
          <c:val>
            <c:numRef>
              <c:f>'Pivot 1 - Country Financial Typ'!$C$3:$C$5</c:f>
              <c:numCache/>
            </c:numRef>
          </c:val>
        </c:ser>
        <c:ser>
          <c:idx val="2"/>
          <c:order val="2"/>
          <c:tx>
            <c:strRef>
              <c:f>'Pivot 1 - Country Financial Typ'!$D$2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1 - Country Financial Typ'!$A$3:$A$5</c:f>
            </c:strRef>
          </c:cat>
          <c:val>
            <c:numRef>
              <c:f>'Pivot 1 - Country Financial Typ'!$D$3:$D$5</c:f>
              <c:numCache/>
            </c:numRef>
          </c:val>
        </c:ser>
        <c:ser>
          <c:idx val="3"/>
          <c:order val="3"/>
          <c:tx>
            <c:strRef>
              <c:f>'Pivot 1 - Country Financial Typ'!$E$2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'Pivot 1 - Country Financial Typ'!$A$3:$A$5</c:f>
            </c:strRef>
          </c:cat>
          <c:val>
            <c:numRef>
              <c:f>'Pivot 1 - Country Financial Typ'!$E$3:$E$5</c:f>
              <c:numCache/>
            </c:numRef>
          </c:val>
        </c:ser>
        <c:overlap val="100"/>
        <c:axId val="719610530"/>
        <c:axId val="1362884070"/>
      </c:barChart>
      <c:catAx>
        <c:axId val="719610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884070"/>
      </c:catAx>
      <c:valAx>
        <c:axId val="1362884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610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Projects by Primary Sector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2 - Sector'!$K$2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2 - Sector'!$J$3:$J$7</c:f>
            </c:strRef>
          </c:cat>
          <c:val>
            <c:numRef>
              <c:f>'Pivot 2 - Sector'!$K$3:$K$7</c:f>
              <c:numCache/>
            </c:numRef>
          </c:val>
        </c:ser>
        <c:axId val="2035568915"/>
        <c:axId val="303094067"/>
      </c:barChart>
      <c:catAx>
        <c:axId val="2035568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094067"/>
      </c:catAx>
      <c:valAx>
        <c:axId val="303094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568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Korean Projects by Country and Primary Sector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3 - Country Sector'!$B$2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3 - Country Sector'!$A$3:$A$5</c:f>
            </c:strRef>
          </c:cat>
          <c:val>
            <c:numRef>
              <c:f>'Pivot 3 - Country Sector'!$B$3:$B$5</c:f>
              <c:numCache/>
            </c:numRef>
          </c:val>
        </c:ser>
        <c:ser>
          <c:idx val="1"/>
          <c:order val="1"/>
          <c:tx>
            <c:strRef>
              <c:f>'Pivot 3 - Country Sector'!$C$2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3 - Country Sector'!$A$3:$A$5</c:f>
            </c:strRef>
          </c:cat>
          <c:val>
            <c:numRef>
              <c:f>'Pivot 3 - Country Sector'!$C$3:$C$5</c:f>
              <c:numCache/>
            </c:numRef>
          </c:val>
        </c:ser>
        <c:ser>
          <c:idx val="2"/>
          <c:order val="2"/>
          <c:tx>
            <c:strRef>
              <c:f>'Pivot 3 - Country Sector'!$D$2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3 - Country Sector'!$A$3:$A$5</c:f>
            </c:strRef>
          </c:cat>
          <c:val>
            <c:numRef>
              <c:f>'Pivot 3 - Country Sector'!$D$3:$D$5</c:f>
              <c:numCache/>
            </c:numRef>
          </c:val>
        </c:ser>
        <c:ser>
          <c:idx val="3"/>
          <c:order val="3"/>
          <c:tx>
            <c:strRef>
              <c:f>'Pivot 3 - Country Sector'!$E$2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'Pivot 3 - Country Sector'!$A$3:$A$5</c:f>
            </c:strRef>
          </c:cat>
          <c:val>
            <c:numRef>
              <c:f>'Pivot 3 - Country Sector'!$E$3:$E$5</c:f>
              <c:numCache/>
            </c:numRef>
          </c:val>
        </c:ser>
        <c:ser>
          <c:idx val="4"/>
          <c:order val="4"/>
          <c:tx>
            <c:strRef>
              <c:f>'Pivot 3 - Country Sector'!$F$2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'Pivot 3 - Country Sector'!$A$3:$A$5</c:f>
            </c:strRef>
          </c:cat>
          <c:val>
            <c:numRef>
              <c:f>'Pivot 3 - Country Sector'!$F$3:$F$5</c:f>
              <c:numCache/>
            </c:numRef>
          </c:val>
        </c:ser>
        <c:overlap val="100"/>
        <c:axId val="2143435783"/>
        <c:axId val="905838154"/>
      </c:barChart>
      <c:catAx>
        <c:axId val="2143435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838154"/>
      </c:catAx>
      <c:valAx>
        <c:axId val="905838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435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6</xdr:row>
      <xdr:rowOff>152400</xdr:rowOff>
    </xdr:from>
    <xdr:ext cx="5429250" cy="3362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8</xdr:row>
      <xdr:rowOff>38100</xdr:rowOff>
    </xdr:from>
    <xdr:ext cx="5086350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6</xdr:row>
      <xdr:rowOff>114300</xdr:rowOff>
    </xdr:from>
    <xdr:ext cx="5305425" cy="3276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" sheet="Sheet1"/>
  </cacheSource>
  <cacheFields>
    <cacheField name="Country" numFmtId="0">
      <sharedItems>
        <s v="El Salvador"/>
        <s v="Mexico"/>
        <s v="United States"/>
      </sharedItems>
    </cacheField>
    <cacheField name="Korean Company / Organization" numFmtId="0">
      <sharedItems>
        <s v="KOICA (Korea International Cooperation Agency)"/>
        <s v="KOICA"/>
        <s v="KIA Mexico"/>
        <s v="Hyundai Mobis"/>
        <s v="LG Magna e-Powertrain"/>
        <s v="Samsung Electronics"/>
        <s v="SK hynix"/>
        <s v="Samsung SDI"/>
        <s v="Hyundai Motor Group"/>
      </sharedItems>
    </cacheField>
    <cacheField name="Project" numFmtId="0">
      <sharedItems>
        <s v="Korea Innovation Nexus for Research &amp; Development Collaboration"/>
        <s v="Center for Industrial Innovation Training at ITCA-FEPADE"/>
        <s v="Centro de Innovación de Emprendimiento Digital (CIED)"/>
        <s v="Kia EV3 Production &amp; Electromobility Expansion"/>
        <s v="Nuevo León Advanced Automotive Technology Expansion"/>
        <s v="Ramos Arizpe EV Powertrain Manufacturing Plant"/>
        <s v="Household Appliance Production Expansion"/>
        <s v="Indiana Advanced HBM Packaging &amp; R&amp;D Facility"/>
        <s v="New Carlisle EV Battery Manufacturing Plant"/>
        <s v="AVP Silicon Valley / Future Mobility Innovation Hub"/>
      </sharedItems>
    </cacheField>
    <cacheField name="Primary Sector" numFmtId="0">
      <sharedItems>
        <s v="Technology"/>
        <s v="Education "/>
        <s v="Automotive"/>
        <s v="Electronics"/>
        <s v="Energy"/>
      </sharedItems>
    </cacheField>
    <cacheField name="Secondary Sector" numFmtId="0">
      <sharedItems>
        <s v="Education"/>
        <s v="Manufacturing"/>
        <s v="Entrepreneurship"/>
        <s v="Energy"/>
        <s v="Technology"/>
        <s v="Consumer Appliances"/>
        <s v="Automotive"/>
      </sharedItems>
    </cacheField>
    <cacheField name="Project Type" numFmtId="0">
      <sharedItems>
        <s v="Technology cooperation / R&amp;D"/>
        <s v="Technology cooperation / Education"/>
        <s v="Technology Cooperation / Entrepreneurship"/>
        <s v="FDI / Manufacturing"/>
        <s v="FDI / Manufacturing / Technology development"/>
        <s v="FDI / Joint Venture / Manufacturing"/>
      </sharedItems>
    </cacheField>
    <cacheField name="Year" numFmtId="0">
      <sharedItems containsSemiMixedTypes="0" containsString="0" containsNumber="1" containsInteger="1">
        <n v="2026.0"/>
        <n v="2021.0"/>
        <n v="2024.0"/>
        <n v="2022.0"/>
      </sharedItems>
    </cacheField>
    <cacheField name="Investment USD">
      <sharedItems containsMixedTypes="1" containsNumber="1" containsInteger="1">
        <n v="9000000.0"/>
        <n v="5800000.0"/>
        <s v="--"/>
        <n v="6.49E8"/>
        <n v="5.0E7"/>
        <n v="4.0E9"/>
        <n v="3.5E9"/>
      </sharedItems>
    </cacheField>
    <cacheField name="Technology Focus" numFmtId="0">
      <sharedItems>
        <s v="Automation; Digital fabrication; Prototyping; Quality control"/>
        <s v="Industry 4.0; Cybersecurity; Industrial robotics; Mechatronics; Electronics; Programming; Smart manufacturing"/>
        <s v="Digitalization; 3D printing; 3D scanning; Drones; Laser cutting; Digital entrepreneurship"/>
        <s v="EV; Electromobility; EV charging; Renewable energy"/>
        <s v="Autonomous driving; Semiconductors; Vehicle electrification; Electronic systems"/>
        <s v="EV; Electric motors; Inverters; On-board chargers; Electric powertrain"/>
        <s v="Consumer electronics; Household appliances; Manufacturing"/>
        <s v="AI; HBM; Semiconductors; Advanced packaging; R&amp;D"/>
        <s v="EV batteries; Battery cells; Energy storage; High-performance batteries"/>
        <s v="AI; Autonomous driving; Robotics; Smart cities; Clean energy"/>
      </sharedItems>
    </cacheField>
    <cacheField name="Local Partner" numFmtId="0">
      <sharedItems containsBlank="1">
        <s v="Universidad de El Salvador / ESCO"/>
        <s v="ITCA-FEPADE / ESCO"/>
        <s v="CONAMYPE / Ministry of Tourism / ESCO / PNUD"/>
        <s v="Government of Nuevo León / Mexican government"/>
        <m/>
        <s v="Magna International / General Motors / Government of Coahuila"/>
        <s v="Government of Mexico / Local operations in Querétaro and Tijuana"/>
        <s v="Purdue University / Indiana government"/>
        <s v="General Motors / State of Indiana"/>
      </sharedItems>
    </cacheField>
    <cacheField name="Source" numFmtId="0">
      <sharedItems>
        <s v="https://rree.gob.sv/el-salvador-y-corea-trabajan-de-la-mano-por-la-innovacion-y-el-desarrollo-tecnologico/ "/>
        <s v="https://www.presidencia.gob.sv/gobierno-fortalece-carreras-tecnologicas-en-itca-fepade-con-el-apoyo-de-la-agencia-de-el-salvador-para-la-cooperacion-internacional/"/>
        <s v="https://rree.gob.sv/corea-apoya-la-habilitacion-de-instalaciones-con-recursos-innovadores-para-las-mypes/"/>
        <s v="https://www.gob.mx/presidencia/prensa/plan-mexico-presidenta-destaca-inversion-de-kia-de-649-mdd-para-produccion-de-vehiculo-electrico-muestra-la-confianza-en-el-pais"/>
        <s v="https://www.nl.gob.mx/es/boletines/desde-corea-del-sur-concreta-samuel-1000-mdp-mas-para-nl"/>
        <s v="https://www.lg.com/global/newsroom/news/corporate/lg-magna-e-powertrain-celebrates-groundbreaking-of-new-facility-in-mexico/"/>
        <s v="https://www.gob.mx/sre/prensa/in-meetings-with-foreign-secretary-ebrard-korean-companies-announce-investments-in-mexico"/>
        <s v="https://news.skhynix.com/en/groundbreaking-ceremony-in-indiana/"/>
        <s v="https://news.samsungsdi.com/global/press/view?seq=57"/>
        <s v="https://www.hyundai.com/worldwide/en/newsroom/detail/0000001239"/>
      </sharedItems>
    </cacheField>
    <cacheField name="Source Date" numFmtId="164">
      <sharedItems containsSemiMixedTypes="0" containsDate="1" containsString="0">
        <d v="2026-08-25T00:00:00Z"/>
        <d v="2025-03-14T00:00:00Z"/>
        <d v="2024-12-06T00:00:00Z"/>
        <d v="2026-07-29T00:00:00Z"/>
        <d v="2026-04-08T00:00:00Z"/>
        <d v="2022-04-20T00:00:00Z"/>
        <d v="2022-07-05T00:00:00Z"/>
        <d v="2026-08-28T00:00:00Z"/>
        <d v="2024-08-28T00:00:00Z"/>
        <d v="2026-07-26T00:00:00Z"/>
      </sharedItems>
    </cacheField>
    <cacheField name="Financial Type" numFmtId="0">
      <sharedItems>
        <s v="Development cooperation"/>
        <s v="Corporate FDI"/>
        <s v="Corporate FDI / Joint Venture"/>
        <s v="Corporate Investment / Technology Cooperation"/>
      </sharedItems>
    </cacheField>
    <cacheField name="Notes" numFmtId="0">
      <sharedItems>
        <s v="Korean-funded innovation center with specialized laboratories; five-year project focused on R&amp;D, technology, innovation, and digital entrepreneurship."/>
        <s v="Five-year cooperation project; includes a new training facility, two technical programs, and four continuing-education diplomas."/>
        <s v="Innovation center providing technology, equipment, training, and technical support to Salvadoran micro and small businesses."/>
        <s v="Investment planned for 2026–2028. Includes EV3 production line at Kia's Pesquería plant, national charging network, 2 MW solar park, and wastewater treatment."/>
        <s v="Hyundai Mobis committed MXN $1 billion; governor described approximately $50M for autonomous-vehicle and chip technology. Expansion expected to generate 250 jobs. Existing operations include electronic components and battery systems."/>
        <s v="LG Electronics–Magna joint venture. New 260,000 sq. ft. facility in Ramos Arizpe, Coahuila; planned production of inverters, motors and onboard chargers for GM's EV platform; approximately 400 jobs expected."/>
        <s v="Samsung announced investments in Querétaro and Tijuana to increase household-appliance production in Mexico. Investment amount not entered because the cited government announcement does not specify a Samsung project amount."/>
        <s v="Advanced HBM packaging facility in West Lafayette; first SK hynix HBM production base in the U.S.; includes an advanced packaging R&amp;D testbed and collaboration with Purdue University."/>
        <s v="Samsung SDI and General Motors established a joint venture for an EV battery manufacturing plant in New Carlisle, Indiana. The original plan called for approximately $3.5B in investment, 27 GWh initial annual capacity, and more than 1,600 jobs. In August "/>
        <s v="Hyundai Motor Group's Silicon Valley innovation activities connect U.S. startups, technology companies, talent and research with Hyundai's global R&amp;D and business operations. AVP Silicon Valley was established as a strategic hub for future mobility innova"/>
      </sharedItems>
    </cacheField>
    <cacheField name="Source Type" numFmtId="0">
      <sharedItems>
        <s v="Government"/>
        <s v="Compan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8" sheet="Sheet1"/>
  </cacheSource>
  <cacheFields>
    <cacheField name="Country" numFmtId="0">
      <sharedItems>
        <s v="El Salvador"/>
        <s v="Mexico"/>
      </sharedItems>
    </cacheField>
    <cacheField name="Korean Company / Organization" numFmtId="0">
      <sharedItems>
        <s v="KOICA (Korea International Cooperation Agency)"/>
        <s v="KOICA"/>
        <s v="KIA Mexico"/>
        <s v="Hyundai Mobis"/>
        <s v="LG Magna e-Powertrain"/>
        <s v="Samsung Electronics"/>
      </sharedItems>
    </cacheField>
    <cacheField name="Project" numFmtId="0">
      <sharedItems>
        <s v="Korea Innovation Nexus for Research &amp; Development Collaboration"/>
        <s v="Center for Industrial Innovation Training at ITCA-FEPADE"/>
        <s v="Centro de Innovación de Emprendimiento Digital (CIED)"/>
        <s v="Kia EV3 Production &amp; Electromobility Expansion"/>
        <s v="Nuevo León Advanced Automotive Technology Expansion"/>
        <s v="Ramos Arizpe EV Powertrain Manufacturing Plant"/>
        <s v="Household Appliance Production Expansion"/>
      </sharedItems>
    </cacheField>
    <cacheField name="Primary Sector" numFmtId="0">
      <sharedItems>
        <s v="Technology"/>
        <s v="Education "/>
        <s v="Automotive"/>
        <s v="Electronics"/>
      </sharedItems>
    </cacheField>
    <cacheField name="Secondary Sector" numFmtId="0">
      <sharedItems>
        <s v="Education"/>
        <s v="Manufacturing"/>
        <s v="Entrepreneurship"/>
        <s v="Energy"/>
        <s v="Technology"/>
        <s v="Consumer Appliances"/>
      </sharedItems>
    </cacheField>
    <cacheField name="Project Type" numFmtId="0">
      <sharedItems>
        <s v="Technology cooperation / R&amp;D"/>
        <s v="Technology cooperation / Education"/>
        <s v="Technology Cooperation / Entrepreneurship"/>
        <s v="FDI / Manufacturing"/>
        <s v="FDI / Manufacturing / Technology development"/>
        <s v="FDI / Joint Venture / Manufacturing"/>
      </sharedItems>
    </cacheField>
    <cacheField name="Year" numFmtId="0">
      <sharedItems containsSemiMixedTypes="0" containsString="0" containsNumber="1" containsInteger="1">
        <n v="2026.0"/>
        <n v="2021.0"/>
        <n v="2024.0"/>
        <n v="2022.0"/>
      </sharedItems>
    </cacheField>
    <cacheField name="Investment USD">
      <sharedItems containsMixedTypes="1" containsNumber="1" containsInteger="1">
        <n v="9000000.0"/>
        <n v="5800000.0"/>
        <s v="--"/>
        <n v="6.49E8"/>
        <n v="5.0E7"/>
      </sharedItems>
    </cacheField>
    <cacheField name="Technology Focus" numFmtId="0">
      <sharedItems>
        <s v="Automation; Digital fabrication; Prototyping; Quality control"/>
        <s v="Industry 4.0; Cybersecurity; Industrial robotics; Mechatronics; Electronics; Programming; Smart manufacturing"/>
        <s v="Digitalization; 3D printing; 3D scanning; Drones; Laser cutting; Digital entrepreneurship"/>
        <s v="EV; Electromobility; EV charging; Renewable energy"/>
        <s v="Autonomous driving; Semiconductors; Vehicle electrification; Electronic systems"/>
        <s v="EV; Electric motors; Inverters; On-board chargers; Electric powertrain"/>
        <s v="Consumer electronics; Household appliances; Manufacturing"/>
      </sharedItems>
    </cacheField>
    <cacheField name="Local Partner" numFmtId="0">
      <sharedItems containsBlank="1">
        <s v="Universidad de El Salvador / ESCO"/>
        <s v="ITCA-FEPADE / ESCO"/>
        <s v="CONAMYPE / Ministry of Tourism / ESCO / PNUD"/>
        <s v="Government of Nuevo León / Mexican government"/>
        <m/>
        <s v="Magna International / General Motors / Government of Coahuila"/>
        <s v="Government of Mexico / Local operations in Querétaro and Tijuana"/>
      </sharedItems>
    </cacheField>
    <cacheField name="Source" numFmtId="0">
      <sharedItems>
        <s v="https://rree.gob.sv/el-salvador-y-corea-trabajan-de-la-mano-por-la-innovacion-y-el-desarrollo-tecnologico/ "/>
        <s v="https://www.presidencia.gob.sv/gobierno-fortalece-carreras-tecnologicas-en-itca-fepade-con-el-apoyo-de-la-agencia-de-el-salvador-para-la-cooperacion-internacional/"/>
        <s v="https://rree.gob.sv/corea-apoya-la-habilitacion-de-instalaciones-con-recursos-innovadores-para-las-mypes/"/>
        <s v="https://www.gob.mx/presidencia/prensa/plan-mexico-presidenta-destaca-inversion-de-kia-de-649-mdd-para-produccion-de-vehiculo-electrico-muestra-la-confianza-en-el-pais"/>
        <s v="https://www.nl.gob.mx/es/boletines/desde-corea-del-sur-concreta-samuel-1000-mdp-mas-para-nl"/>
        <s v="https://www.lg.com/global/newsroom/news/corporate/lg-magna-e-powertrain-celebrates-groundbreaking-of-new-facility-in-mexico/"/>
        <s v="https://www.gob.mx/sre/prensa/in-meetings-with-foreign-secretary-ebrard-korean-companies-announce-investments-in-mexico"/>
      </sharedItems>
    </cacheField>
    <cacheField name="Source Date" numFmtId="164">
      <sharedItems containsSemiMixedTypes="0" containsDate="1" containsString="0">
        <d v="2026-08-25T00:00:00Z"/>
        <d v="2025-03-14T00:00:00Z"/>
        <d v="2024-12-06T00:00:00Z"/>
        <d v="2026-07-29T00:00:00Z"/>
        <d v="2026-04-08T00:00:00Z"/>
        <d v="2022-04-20T00:00:00Z"/>
        <d v="2022-07-05T00:00:00Z"/>
      </sharedItems>
    </cacheField>
    <cacheField name="Financial Type" numFmtId="0">
      <sharedItems>
        <s v="Development cooperation"/>
        <s v="Corporate FDI"/>
        <s v="Corporate FDI / Joint Venture"/>
      </sharedItems>
    </cacheField>
    <cacheField name="Notes" numFmtId="0">
      <sharedItems>
        <s v="Korean-funded innovation center with specialized laboratories; five-year project focused on R&amp;D, technology, innovation, and digital entrepreneurship."/>
        <s v="Five-year cooperation project; includes a new training facility, two technical programs, and four continuing-education diplomas."/>
        <s v="Innovation center providing technology, equipment, training, and technical support to Salvadoran micro and small businesses."/>
        <s v="Investment planned for 2026–2028. Includes EV3 production line at Kia's Pesquería plant, national charging network, 2 MW solar park, and wastewater treatment."/>
        <s v="Hyundai Mobis committed MXN $1 billion; governor described approximately $50M for autonomous-vehicle and chip technology. Expansion expected to generate 250 jobs. Existing operations include electronic components and battery systems."/>
        <s v="LG Electronics–Magna joint venture. New 260,000 sq. ft. facility in Ramos Arizpe, Coahuila; planned production of inverters, motors and onboard chargers for GM's EV platform; approximately 400 jobs expected."/>
        <s v="Samsung announced investments in Querétaro and Tijuana to increase household-appliance production in Mexico. Investment amount not entered because the cited government announcement does not specify a Samsung project amount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1 - Country Financial Typ" cacheId="0" dataCaption="" compact="0" compactData="0">
  <location ref="A1:F6" firstHeaderRow="0" firstDataRow="1" firstDataCol="1"/>
  <pivotFields>
    <pivotField name="Country" axis="axisRow" compact="0" outline="0" multipleItemSelectionAllowed="1" showAll="0" sortType="ascending">
      <items>
        <item x="0"/>
        <item x="1"/>
        <item x="2"/>
        <item t="default"/>
      </items>
    </pivotField>
    <pivotField name="Korean Company / Organ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je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imary Se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ondary Sect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Investment US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chnology Foc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l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inancial Type" axis="axisCol" compact="0" outline="0" multipleItemSelectionAllowed="1" showAll="0" sortType="ascending">
      <items>
        <item x="1"/>
        <item x="2"/>
        <item x="3"/>
        <item x="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 Type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12"/>
  </colFields>
  <dataFields>
    <dataField name="COUNTA of Project" fld="2" subtotal="count" baseField="0"/>
  </dataFields>
</pivotTableDefinition>
</file>

<file path=xl/pivotTables/pivotTable2.xml><?xml version="1.0" encoding="utf-8"?>
<pivotTableDefinition xmlns="http://schemas.openxmlformats.org/spreadsheetml/2006/main" name="Pivot 2 - Sector" cacheId="0" dataCaption="" compact="0" compactData="0">
  <location ref="A1:I8" firstHeaderRow="0" firstDataRow="1" firstDataCol="1"/>
  <pivotFields>
    <pivotField name="Country" compact="0" outline="0" multipleItemSelectionAllowed="1" showAll="0">
      <items>
        <item x="0"/>
        <item x="1"/>
        <item x="2"/>
        <item t="default"/>
      </items>
    </pivotField>
    <pivotField name="Korean Company / Organ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je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imary Sector" axis="axisRow" compact="0" outline="0" multipleItemSelectionAllowed="1" showAll="0" sortType="ascending">
      <items>
        <item x="2"/>
        <item x="1"/>
        <item x="3"/>
        <item x="4"/>
        <item x="0"/>
        <item t="default"/>
      </items>
    </pivotField>
    <pivotField name="Secondary Sector" axis="axisCol" compact="0" outline="0" multipleItemSelectionAllowed="1" showAll="0" sortType="ascending">
      <items>
        <item x="6"/>
        <item x="5"/>
        <item x="0"/>
        <item x="3"/>
        <item x="2"/>
        <item x="1"/>
        <item x="4"/>
        <item t="default"/>
      </items>
    </pivotField>
    <pivotField name="Projec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Investment US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chnology Foc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l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inancial Type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 Type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4"/>
  </colFields>
  <dataFields>
    <dataField name="COUNTA of Project" fld="2" subtotal="count" baseField="0"/>
  </dataFields>
</pivotTableDefinition>
</file>

<file path=xl/pivotTables/pivotTable3.xml><?xml version="1.0" encoding="utf-8"?>
<pivotTableDefinition xmlns="http://schemas.openxmlformats.org/spreadsheetml/2006/main" name="Pivot 3 - Country Sector" cacheId="0" dataCaption="" compact="0" compactData="0">
  <location ref="A1:G6" firstHeaderRow="0" firstDataRow="1" firstDataCol="1"/>
  <pivotFields>
    <pivotField name="Country" axis="axisRow" compact="0" outline="0" multipleItemSelectionAllowed="1" showAll="0" sortType="ascending">
      <items>
        <item x="0"/>
        <item x="1"/>
        <item x="2"/>
        <item t="default"/>
      </items>
    </pivotField>
    <pivotField name="Korean Company / Organ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je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imary Sector" axis="axisCol" compact="0" outline="0" multipleItemSelectionAllowed="1" showAll="0" sortType="ascending">
      <items>
        <item x="2"/>
        <item x="1"/>
        <item x="3"/>
        <item x="4"/>
        <item x="0"/>
        <item t="default"/>
      </items>
    </pivotField>
    <pivotField name="Secondary Sect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Investment US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chnology Foc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l 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inancial Type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ource Type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3"/>
  </colFields>
  <dataFields>
    <dataField name="COUNTA of Project" fld="2" subtotal="count" baseField="0"/>
  </dataFields>
</pivotTableDefinition>
</file>

<file path=xl/pivotTables/pivotTable4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Country" compact="0" outline="0" multipleItemSelectionAllowed="1" showAll="0">
      <items>
        <item x="0"/>
        <item x="1"/>
        <item t="default"/>
      </items>
    </pivotField>
    <pivotField name="Korean Company / Organiz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imary Sector" compact="0" outline="0" multipleItemSelectionAllowed="1" showAll="0">
      <items>
        <item x="0"/>
        <item x="1"/>
        <item x="2"/>
        <item x="3"/>
        <item t="default"/>
      </items>
    </pivotField>
    <pivotField name="Secondary Sec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Investment US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chnology Foc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l 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ource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inancial Type" axis="axisRow" dataField="1" compact="0" outline="0" multipleItemSelectionAllowed="1" showAll="0" sortType="ascending">
      <items>
        <item x="1"/>
        <item x="2"/>
        <item x="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2"/>
  </rowFields>
  <dataFields>
    <dataField name="COUNTA of Financial Type" fld="12" subtotal="count" baseField="0"/>
  </dataFields>
</pivotTableDefinition>
</file>

<file path=xl/pivotTables/pivotTable5.xml><?xml version="1.0" encoding="utf-8"?>
<pivotTableDefinition xmlns="http://schemas.openxmlformats.org/spreadsheetml/2006/main" name="Pivot Table 2" cacheId="1" dataCaption="" compact="0" compactData="0">
  <location ref="A1:D12" firstHeaderRow="0" firstDataRow="3" firstDataCol="0"/>
  <pivotFields>
    <pivotField name="Country" compact="0" outline="0" multipleItemSelectionAllowed="1" showAll="0">
      <items>
        <item x="0"/>
        <item x="1"/>
        <item t="default"/>
      </items>
    </pivotField>
    <pivotField name="Korean Company / Organiz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imary Sector" axis="axisRow" dataField="1" compact="0" outline="0" multipleItemSelectionAllowed="1" showAll="0" sortType="ascending">
      <items>
        <item x="2"/>
        <item x="1"/>
        <item x="3"/>
        <item x="0"/>
        <item t="default"/>
      </items>
    </pivotField>
    <pivotField name="Secondary Sector" axis="axisRow" dataField="1" compact="0" outline="0" multipleItemSelectionAllowed="1" showAll="0" sortType="ascending">
      <items>
        <item x="5"/>
        <item x="0"/>
        <item x="3"/>
        <item x="2"/>
        <item x="1"/>
        <item x="4"/>
        <item t="default"/>
      </items>
    </pivotField>
    <pivotField name="Projec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Investment US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chnology Foc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l 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ource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inancial Type" compact="0" outline="0" multipleItemSelectionAllowed="1" showAll="0">
      <items>
        <item x="0"/>
        <item x="1"/>
        <item x="2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"/>
    <field x="4"/>
  </rowFields>
  <colFields>
    <field x="-2"/>
  </colFields>
  <dataFields>
    <dataField name="COUNTA of Primary Sector" fld="3" subtotal="count" baseField="0"/>
    <dataField name="COUNTA of Secondary Sector" fld="4" subtotal="count" baseField="0"/>
  </dataFields>
</pivotTableDefinition>
</file>

<file path=xl/pivotTables/pivotTable6.xml><?xml version="1.0" encoding="utf-8"?>
<pivotTableDefinition xmlns="http://schemas.openxmlformats.org/spreadsheetml/2006/main" name="Pivot Table 3" cacheId="1" dataCaption="" compact="0" compactData="0">
  <location ref="A1:E5" firstHeaderRow="0" firstDataRow="1" firstDataCol="1"/>
  <pivotFields>
    <pivotField name="Country" axis="axisRow" compact="0" outline="0" multipleItemSelectionAllowed="1" showAll="0" sortType="ascending">
      <items>
        <item x="0"/>
        <item x="1"/>
        <item t="default"/>
      </items>
    </pivotField>
    <pivotField name="Korean Company / Organiz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imary Sector" compact="0" outline="0" multipleItemSelectionAllowed="1" showAll="0">
      <items>
        <item x="0"/>
        <item x="1"/>
        <item x="2"/>
        <item x="3"/>
        <item t="default"/>
      </items>
    </pivotField>
    <pivotField name="Secondary Sec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Investment US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chnology Foc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l Part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ource Dat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inancial Type" axis="axisCol" dataField="1" compact="0" outline="0" multipleItemSelectionAllowed="1" showAll="0" sortType="ascending">
      <items>
        <item x="1"/>
        <item x="2"/>
        <item x="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colFields>
    <field x="12"/>
  </colFields>
  <dataFields>
    <dataField name="COUNTA of Financial Type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ree.gob.sv/el-salvador-y-corea-trabajan-de-la-mano-por-la-innovacion-y-el-desarrollo-tecnologico/" TargetMode="External"/><Relationship Id="rId2" Type="http://schemas.openxmlformats.org/officeDocument/2006/relationships/hyperlink" Target="https://www.presidencia.gob.sv/gobierno-fortalece-carreras-tecnologicas-en-itca-fepade-con-el-apoyo-de-la-agencia-de-el-salvador-para-la-cooperacion-internacional/" TargetMode="External"/><Relationship Id="rId3" Type="http://schemas.openxmlformats.org/officeDocument/2006/relationships/hyperlink" Target="https://rree.gob.sv/corea-apoya-la-habilitacion-de-instalaciones-con-recursos-innovadores-para-las-mypes/" TargetMode="External"/><Relationship Id="rId4" Type="http://schemas.openxmlformats.org/officeDocument/2006/relationships/hyperlink" Target="https://www.gob.mx/presidencia/prensa/plan-mexico-presidenta-destaca-inversion-de-kia-de-649-mdd-para-produccion-de-vehiculo-electrico-muestra-la-confianza-en-el-pai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hyundai.com/worldwide/en/newsroom/detail/0000001239" TargetMode="External"/><Relationship Id="rId9" Type="http://schemas.openxmlformats.org/officeDocument/2006/relationships/hyperlink" Target="https://news.samsungsdi.com/global/press/view?seq=57" TargetMode="External"/><Relationship Id="rId5" Type="http://schemas.openxmlformats.org/officeDocument/2006/relationships/hyperlink" Target="https://www.nl.gob.mx/es/boletines/desde-corea-del-sur-concreta-samuel-1000-mdp-mas-para-nl" TargetMode="External"/><Relationship Id="rId6" Type="http://schemas.openxmlformats.org/officeDocument/2006/relationships/hyperlink" Target="https://www.lg.com/global/newsroom/news/corporate/lg-magna-e-powertrain-celebrates-groundbreaking-of-new-facility-in-mexico/" TargetMode="External"/><Relationship Id="rId7" Type="http://schemas.openxmlformats.org/officeDocument/2006/relationships/hyperlink" Target="https://www.gob.mx/sre/prensa/in-meetings-with-foreign-secretary-ebrard-korean-companies-announce-investments-in-mexico" TargetMode="External"/><Relationship Id="rId8" Type="http://schemas.openxmlformats.org/officeDocument/2006/relationships/hyperlink" Target="https://news.skhynix.com/en/groundbreaking-ceremony-in-indian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2026.0</v>
      </c>
      <c r="H2" s="2">
        <v>9000000.0</v>
      </c>
      <c r="I2" s="1" t="s">
        <v>21</v>
      </c>
      <c r="J2" s="1" t="s">
        <v>22</v>
      </c>
      <c r="K2" s="3" t="s">
        <v>23</v>
      </c>
      <c r="L2" s="4">
        <v>46259.0</v>
      </c>
      <c r="M2" s="1" t="s">
        <v>24</v>
      </c>
      <c r="N2" s="1" t="s">
        <v>25</v>
      </c>
      <c r="O2" s="1" t="s">
        <v>26</v>
      </c>
    </row>
    <row r="3">
      <c r="A3" s="1" t="s">
        <v>15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>
        <v>2021.0</v>
      </c>
      <c r="H3" s="2">
        <v>5800000.0</v>
      </c>
      <c r="I3" s="1" t="s">
        <v>32</v>
      </c>
      <c r="J3" s="1" t="s">
        <v>33</v>
      </c>
      <c r="K3" s="3" t="s">
        <v>34</v>
      </c>
      <c r="L3" s="4">
        <v>45730.0</v>
      </c>
      <c r="M3" s="1" t="s">
        <v>24</v>
      </c>
      <c r="N3" s="1" t="s">
        <v>35</v>
      </c>
      <c r="O3" s="1" t="s">
        <v>26</v>
      </c>
    </row>
    <row r="4">
      <c r="A4" s="1" t="s">
        <v>15</v>
      </c>
      <c r="B4" s="1" t="s">
        <v>27</v>
      </c>
      <c r="C4" s="1" t="s">
        <v>36</v>
      </c>
      <c r="D4" s="1" t="s">
        <v>18</v>
      </c>
      <c r="E4" s="1" t="s">
        <v>37</v>
      </c>
      <c r="F4" s="1" t="s">
        <v>38</v>
      </c>
      <c r="G4" s="1">
        <v>2024.0</v>
      </c>
      <c r="H4" s="1" t="s">
        <v>39</v>
      </c>
      <c r="I4" s="1" t="s">
        <v>40</v>
      </c>
      <c r="J4" s="1" t="s">
        <v>41</v>
      </c>
      <c r="K4" s="3" t="s">
        <v>42</v>
      </c>
      <c r="L4" s="4">
        <v>45632.0</v>
      </c>
      <c r="M4" s="1" t="s">
        <v>24</v>
      </c>
      <c r="N4" s="1" t="s">
        <v>43</v>
      </c>
      <c r="O4" s="1" t="s">
        <v>26</v>
      </c>
    </row>
    <row r="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>
        <v>2026.0</v>
      </c>
      <c r="H5" s="2">
        <v>6.49E8</v>
      </c>
      <c r="I5" s="1" t="s">
        <v>50</v>
      </c>
      <c r="J5" s="1" t="s">
        <v>51</v>
      </c>
      <c r="K5" s="3" t="s">
        <v>52</v>
      </c>
      <c r="L5" s="4">
        <v>46232.0</v>
      </c>
      <c r="M5" s="1" t="s">
        <v>53</v>
      </c>
      <c r="N5" s="1" t="s">
        <v>54</v>
      </c>
      <c r="O5" s="1" t="s">
        <v>26</v>
      </c>
    </row>
    <row r="6">
      <c r="A6" s="1" t="s">
        <v>44</v>
      </c>
      <c r="B6" s="1" t="s">
        <v>55</v>
      </c>
      <c r="C6" s="1" t="s">
        <v>56</v>
      </c>
      <c r="D6" s="1" t="s">
        <v>47</v>
      </c>
      <c r="E6" s="1" t="s">
        <v>18</v>
      </c>
      <c r="F6" s="1" t="s">
        <v>57</v>
      </c>
      <c r="G6" s="1">
        <v>2026.0</v>
      </c>
      <c r="H6" s="2">
        <v>5.0E7</v>
      </c>
      <c r="I6" s="1" t="s">
        <v>58</v>
      </c>
      <c r="K6" s="3" t="s">
        <v>59</v>
      </c>
      <c r="L6" s="4">
        <v>46120.0</v>
      </c>
      <c r="M6" s="1" t="s">
        <v>53</v>
      </c>
      <c r="N6" s="1" t="s">
        <v>60</v>
      </c>
      <c r="O6" s="1" t="s">
        <v>26</v>
      </c>
    </row>
    <row r="7">
      <c r="A7" s="1" t="s">
        <v>44</v>
      </c>
      <c r="B7" s="1" t="s">
        <v>61</v>
      </c>
      <c r="C7" s="1" t="s">
        <v>62</v>
      </c>
      <c r="D7" s="1" t="s">
        <v>47</v>
      </c>
      <c r="E7" s="1" t="s">
        <v>18</v>
      </c>
      <c r="F7" s="1" t="s">
        <v>63</v>
      </c>
      <c r="G7" s="1">
        <v>2022.0</v>
      </c>
      <c r="H7" s="1" t="s">
        <v>39</v>
      </c>
      <c r="I7" s="1" t="s">
        <v>64</v>
      </c>
      <c r="J7" s="1" t="s">
        <v>65</v>
      </c>
      <c r="K7" s="3" t="s">
        <v>66</v>
      </c>
      <c r="L7" s="4">
        <v>44671.0</v>
      </c>
      <c r="M7" s="1" t="s">
        <v>67</v>
      </c>
      <c r="N7" s="1" t="s">
        <v>68</v>
      </c>
      <c r="O7" s="1" t="s">
        <v>69</v>
      </c>
    </row>
    <row r="8">
      <c r="A8" s="1" t="s">
        <v>44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49</v>
      </c>
      <c r="G8" s="1">
        <v>2022.0</v>
      </c>
      <c r="H8" s="1" t="s">
        <v>39</v>
      </c>
      <c r="I8" s="1" t="s">
        <v>74</v>
      </c>
      <c r="J8" s="1" t="s">
        <v>75</v>
      </c>
      <c r="K8" s="3" t="s">
        <v>76</v>
      </c>
      <c r="L8" s="4">
        <v>44747.0</v>
      </c>
      <c r="M8" s="1" t="s">
        <v>53</v>
      </c>
      <c r="N8" s="1" t="s">
        <v>77</v>
      </c>
      <c r="O8" s="1" t="s">
        <v>26</v>
      </c>
    </row>
    <row r="9">
      <c r="A9" s="1" t="s">
        <v>78</v>
      </c>
      <c r="B9" s="1" t="s">
        <v>79</v>
      </c>
      <c r="C9" s="1" t="s">
        <v>80</v>
      </c>
      <c r="D9" s="1" t="s">
        <v>72</v>
      </c>
      <c r="E9" s="1" t="s">
        <v>18</v>
      </c>
      <c r="F9" s="1" t="s">
        <v>81</v>
      </c>
      <c r="G9" s="1">
        <v>2026.0</v>
      </c>
      <c r="H9" s="2">
        <v>4.0E9</v>
      </c>
      <c r="I9" s="1" t="s">
        <v>82</v>
      </c>
      <c r="J9" s="1" t="s">
        <v>83</v>
      </c>
      <c r="K9" s="3" t="s">
        <v>84</v>
      </c>
      <c r="L9" s="4">
        <v>46262.0</v>
      </c>
      <c r="M9" s="1" t="s">
        <v>53</v>
      </c>
      <c r="N9" s="1" t="s">
        <v>85</v>
      </c>
      <c r="O9" s="1" t="s">
        <v>69</v>
      </c>
    </row>
    <row r="10">
      <c r="A10" s="1" t="s">
        <v>78</v>
      </c>
      <c r="B10" s="1" t="s">
        <v>86</v>
      </c>
      <c r="C10" s="1" t="s">
        <v>87</v>
      </c>
      <c r="D10" s="1" t="s">
        <v>48</v>
      </c>
      <c r="E10" s="1" t="s">
        <v>47</v>
      </c>
      <c r="F10" s="1" t="s">
        <v>63</v>
      </c>
      <c r="G10" s="1">
        <v>2024.0</v>
      </c>
      <c r="H10" s="2">
        <v>3.5E9</v>
      </c>
      <c r="I10" s="1" t="s">
        <v>88</v>
      </c>
      <c r="J10" s="1" t="s">
        <v>89</v>
      </c>
      <c r="K10" s="3" t="s">
        <v>90</v>
      </c>
      <c r="L10" s="4">
        <v>45532.0</v>
      </c>
      <c r="M10" s="1" t="s">
        <v>67</v>
      </c>
      <c r="N10" s="1" t="s">
        <v>91</v>
      </c>
      <c r="O10" s="1" t="s">
        <v>69</v>
      </c>
    </row>
    <row r="11">
      <c r="A11" s="1" t="s">
        <v>78</v>
      </c>
      <c r="B11" s="1" t="s">
        <v>92</v>
      </c>
      <c r="C11" s="1" t="s">
        <v>93</v>
      </c>
      <c r="D11" s="1" t="s">
        <v>18</v>
      </c>
      <c r="E11" s="1" t="s">
        <v>47</v>
      </c>
      <c r="F11" s="1" t="s">
        <v>20</v>
      </c>
      <c r="G11" s="1">
        <v>2026.0</v>
      </c>
      <c r="H11" s="1" t="s">
        <v>39</v>
      </c>
      <c r="I11" s="1" t="s">
        <v>94</v>
      </c>
      <c r="K11" s="3" t="s">
        <v>95</v>
      </c>
      <c r="L11" s="4">
        <v>46229.0</v>
      </c>
      <c r="M11" s="1" t="s">
        <v>96</v>
      </c>
      <c r="N11" s="1" t="s">
        <v>97</v>
      </c>
      <c r="O11" s="1" t="s">
        <v>69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J2" s="5" t="s">
        <v>3</v>
      </c>
      <c r="K2" s="1" t="s">
        <v>100</v>
      </c>
    </row>
    <row r="3">
      <c r="J3" s="5" t="s">
        <v>47</v>
      </c>
      <c r="K3" s="5">
        <v>3.0</v>
      </c>
    </row>
    <row r="4">
      <c r="J4" s="5" t="s">
        <v>29</v>
      </c>
      <c r="K4" s="5">
        <v>1.0</v>
      </c>
    </row>
    <row r="5">
      <c r="J5" s="5" t="s">
        <v>72</v>
      </c>
      <c r="K5" s="5">
        <v>2.0</v>
      </c>
    </row>
    <row r="6">
      <c r="J6" s="5" t="s">
        <v>48</v>
      </c>
      <c r="K6" s="5">
        <v>1.0</v>
      </c>
    </row>
    <row r="7">
      <c r="J7" s="5" t="s">
        <v>18</v>
      </c>
      <c r="K7" s="5">
        <v>3.0</v>
      </c>
    </row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